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EMAS2-10\Documents\"/>
    </mc:Choice>
  </mc:AlternateContent>
  <xr:revisionPtr revIDLastSave="0" documentId="8_{309E593B-6C11-47F8-B8C5-72F515CCDCED}" xr6:coauthVersionLast="47" xr6:coauthVersionMax="47" xr10:uidLastSave="{00000000-0000-0000-0000-000000000000}"/>
  <bookViews>
    <workbookView xWindow="-120" yWindow="-120" windowWidth="20730" windowHeight="11160" xr2:uid="{9646B190-D526-4BE4-B816-E5CFCE63B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3" i="1" l="1"/>
  <c r="K22" i="1"/>
  <c r="K21" i="1"/>
  <c r="F21" i="1"/>
  <c r="G21" i="1"/>
  <c r="G22" i="1"/>
  <c r="G23" i="1"/>
  <c r="H23" i="1"/>
  <c r="I23" i="1"/>
  <c r="J23" i="1"/>
  <c r="F14" i="1"/>
  <c r="F22" i="1"/>
  <c r="F23" i="1"/>
  <c r="E24" i="1"/>
  <c r="G16" i="1"/>
  <c r="H16" i="1"/>
  <c r="I16" i="1"/>
  <c r="J16" i="1"/>
  <c r="K16" i="1"/>
  <c r="L16" i="1"/>
  <c r="M16" i="1"/>
  <c r="N16" i="1"/>
  <c r="O16" i="1"/>
  <c r="F15" i="1"/>
  <c r="F16" i="1"/>
  <c r="E17" i="1"/>
  <c r="F17" i="1" s="1"/>
  <c r="G10" i="1"/>
  <c r="H10" i="1" s="1"/>
  <c r="I10" i="1" s="1"/>
  <c r="J10" i="1" s="1"/>
  <c r="K10" i="1" s="1"/>
  <c r="L10" i="1" s="1"/>
  <c r="M10" i="1" s="1"/>
  <c r="F10" i="1"/>
  <c r="G9" i="1"/>
  <c r="H9" i="1"/>
  <c r="I9" i="1"/>
  <c r="J9" i="1"/>
  <c r="K9" i="1"/>
  <c r="L9" i="1"/>
  <c r="M9" i="1"/>
  <c r="F9" i="1"/>
  <c r="E10" i="1"/>
  <c r="G5" i="1"/>
  <c r="H5" i="1" s="1"/>
  <c r="I5" i="1" s="1"/>
  <c r="J5" i="1" s="1"/>
  <c r="K5" i="1" s="1"/>
  <c r="L5" i="1" s="1"/>
  <c r="M5" i="1" s="1"/>
  <c r="F5" i="1"/>
  <c r="G4" i="1"/>
  <c r="H4" i="1"/>
  <c r="I4" i="1"/>
  <c r="J4" i="1"/>
  <c r="K4" i="1"/>
  <c r="L4" i="1"/>
  <c r="M4" i="1"/>
  <c r="F4" i="1"/>
  <c r="E5" i="1"/>
  <c r="F24" i="1" l="1"/>
  <c r="G15" i="1"/>
  <c r="G14" i="1" s="1"/>
  <c r="G17" i="1" s="1"/>
  <c r="G24" i="1" l="1"/>
  <c r="H22" i="1" s="1"/>
  <c r="H21" i="1" s="1"/>
  <c r="H15" i="1"/>
  <c r="H14" i="1" s="1"/>
  <c r="H17" i="1" s="1"/>
  <c r="H24" i="1" l="1"/>
  <c r="I22" i="1" s="1"/>
  <c r="I21" i="1" s="1"/>
  <c r="I15" i="1"/>
  <c r="I14" i="1" s="1"/>
  <c r="I17" i="1"/>
  <c r="J15" i="1"/>
  <c r="J14" i="1" s="1"/>
  <c r="J17" i="1" s="1"/>
  <c r="I24" i="1" l="1"/>
  <c r="J22" i="1" s="1"/>
  <c r="J21" i="1" s="1"/>
  <c r="K15" i="1"/>
  <c r="K14" i="1" s="1"/>
  <c r="K17" i="1" s="1"/>
  <c r="J24" i="1" l="1"/>
  <c r="L15" i="1"/>
  <c r="L14" i="1" s="1"/>
  <c r="L17" i="1" s="1"/>
  <c r="M15" i="1" l="1"/>
  <c r="M14" i="1" s="1"/>
  <c r="M17" i="1" s="1"/>
  <c r="N15" i="1" l="1"/>
  <c r="N14" i="1" s="1"/>
  <c r="N17" i="1" s="1"/>
  <c r="O15" i="1" l="1"/>
  <c r="O14" i="1" s="1"/>
  <c r="O17" i="1" s="1"/>
</calcChain>
</file>

<file path=xl/sharedStrings.xml><?xml version="1.0" encoding="utf-8"?>
<sst xmlns="http://schemas.openxmlformats.org/spreadsheetml/2006/main" count="30" uniqueCount="16">
  <si>
    <t xml:space="preserve">|Invercion </t>
  </si>
  <si>
    <t>VR</t>
  </si>
  <si>
    <t>Vida</t>
  </si>
  <si>
    <t xml:space="preserve"> </t>
  </si>
  <si>
    <t xml:space="preserve">Años </t>
  </si>
  <si>
    <t>Depreciacion</t>
  </si>
  <si>
    <t>Val. Lib.</t>
  </si>
  <si>
    <t>Prestamo</t>
  </si>
  <si>
    <t>Plazo del prestamo</t>
  </si>
  <si>
    <t>tasa de interes</t>
  </si>
  <si>
    <t>Cuota</t>
  </si>
  <si>
    <t>Año</t>
  </si>
  <si>
    <t>CuotaAbono a la deuda</t>
  </si>
  <si>
    <t>Intereses</t>
  </si>
  <si>
    <t>Saldo Insoluto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</si>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</sst>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1" xfId="0" applyBorder="1"/>
    <xf numFmtId="8" fontId="0" fillId="0" borderId="1" xfId="0" applyNumberFormat="1" applyBorder="1"/>
    <xf numFmtId="0" fontId="0" fillId="0" borderId="0" xfId="0" applyFill="1" applyBorder="1"/>
    <xf numFmtId="0" fontId="0" fillId="0" borderId="1" xfId="0" applyFill="1" applyBorder="1"/>
    <xf numFmtId="9" fontId="0" fillId="0" borderId="0" xfId="0" applyNumberFormat="1"/>
    <xf numFmtId="8" fontId="0" fillId="0" borderId="2" xfId="0" applyNumberFormat="1" applyBorder="1"/>
    <xf numFmtId="0" fontId="0" fillId="0" borderId="2" xfId="0" applyBorder="1"/>
    <xf numFmtId="8" fontId="0" fillId="0" borderId="0" xfId="0" applyNumberFormat="1" applyBorder="1"/>
    <xf numFmtId="0" fontId="0" fillId="0" borderId="3" xfId="0" applyBorder="1"/>
    <xf numFmtId="0" fontId="0" fillId="0" borderId="4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Border="1"/>
    <xf numFmtId="8" fontId="0" fillId="0" borderId="7" xfId="0" applyNumberFormat="1" applyBorder="1"/>
    <xf numFmtId="0" fontId="0" fillId="0" borderId="8" xfId="0" applyFill="1" applyBorder="1"/>
    <xf numFmtId="8" fontId="0" fillId="0" borderId="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B0A26-2F48-43A8-9201-9596D463A205}">
  <dimension ref="A3:P57"/>
  <sheetViews>
    <sheetView tabSelected="1" topLeftCell="B10" workbookViewId="0">
      <selection activeCell="O19" sqref="O19"/>
    </sheetView>
  </sheetViews>
  <sheetFormatPr baseColWidth="10" defaultRowHeight="15" x14ac:dyDescent="0.25"/>
  <cols>
    <col min="1" max="1" width="17.7109375" customWidth="1"/>
    <col min="4" max="4" width="21" customWidth="1"/>
    <col min="5" max="5" width="10.85546875" customWidth="1"/>
    <col min="6" max="6" width="12.140625" customWidth="1"/>
    <col min="8" max="8" width="13.28515625" customWidth="1"/>
  </cols>
  <sheetData>
    <row r="3" spans="1:16" x14ac:dyDescent="0.25">
      <c r="A3" t="s">
        <v>0</v>
      </c>
      <c r="B3">
        <v>180000</v>
      </c>
      <c r="D3" s="2" t="s">
        <v>4</v>
      </c>
      <c r="E3" s="2">
        <v>0</v>
      </c>
      <c r="F3" s="2">
        <v>1</v>
      </c>
      <c r="G3" s="2">
        <v>2</v>
      </c>
      <c r="H3" s="2">
        <v>3</v>
      </c>
      <c r="I3" s="2">
        <v>4</v>
      </c>
      <c r="J3" s="2">
        <v>5</v>
      </c>
      <c r="K3" s="2">
        <v>6</v>
      </c>
      <c r="L3" s="2">
        <v>7</v>
      </c>
      <c r="M3" s="2">
        <v>8</v>
      </c>
    </row>
    <row r="4" spans="1:16" x14ac:dyDescent="0.25">
      <c r="A4" t="s">
        <v>1</v>
      </c>
      <c r="B4">
        <v>20000</v>
      </c>
      <c r="D4" s="2" t="s">
        <v>5</v>
      </c>
      <c r="E4" s="2"/>
      <c r="F4" s="3">
        <f>DDB($B$3,$B$4,$B$5,F3)</f>
        <v>45000</v>
      </c>
      <c r="G4" s="3">
        <f t="shared" ref="G4:M4" si="0">DDB($B$3,$B$4,$B$5,G3)</f>
        <v>33750</v>
      </c>
      <c r="H4" s="3">
        <f t="shared" si="0"/>
        <v>25312.5</v>
      </c>
      <c r="I4" s="3">
        <f t="shared" si="0"/>
        <v>18984.375</v>
      </c>
      <c r="J4" s="3">
        <f t="shared" si="0"/>
        <v>14238.28125</v>
      </c>
      <c r="K4" s="3">
        <f t="shared" si="0"/>
        <v>10678.7109375</v>
      </c>
      <c r="L4" s="3">
        <f t="shared" si="0"/>
        <v>8009.033203125</v>
      </c>
      <c r="M4" s="3">
        <f t="shared" si="0"/>
        <v>4027.099609375</v>
      </c>
    </row>
    <row r="5" spans="1:16" x14ac:dyDescent="0.25">
      <c r="A5" t="s">
        <v>2</v>
      </c>
      <c r="B5">
        <v>8</v>
      </c>
      <c r="D5" s="2" t="s">
        <v>6</v>
      </c>
      <c r="E5" s="2">
        <f>B3</f>
        <v>180000</v>
      </c>
      <c r="F5" s="3">
        <f>E5-F4</f>
        <v>135000</v>
      </c>
      <c r="G5" s="3">
        <f t="shared" ref="G5:M5" si="1">F5-G4</f>
        <v>101250</v>
      </c>
      <c r="H5" s="3">
        <f t="shared" si="1"/>
        <v>75937.5</v>
      </c>
      <c r="I5" s="3">
        <f t="shared" si="1"/>
        <v>56953.125</v>
      </c>
      <c r="J5" s="3">
        <f t="shared" si="1"/>
        <v>42714.84375</v>
      </c>
      <c r="K5" s="3">
        <f t="shared" si="1"/>
        <v>32036.1328125</v>
      </c>
      <c r="L5" s="3">
        <f t="shared" si="1"/>
        <v>24027.099609375</v>
      </c>
      <c r="M5" s="3">
        <f t="shared" si="1"/>
        <v>20000</v>
      </c>
    </row>
    <row r="8" spans="1:16" x14ac:dyDescent="0.25">
      <c r="A8" t="s">
        <v>0</v>
      </c>
      <c r="B8">
        <v>180000</v>
      </c>
      <c r="D8" s="2" t="s">
        <v>4</v>
      </c>
      <c r="E8" s="2">
        <v>0</v>
      </c>
      <c r="F8" s="2">
        <v>1</v>
      </c>
      <c r="G8" s="2">
        <v>2</v>
      </c>
      <c r="H8" s="2">
        <v>3</v>
      </c>
      <c r="I8" s="2">
        <v>4</v>
      </c>
      <c r="J8" s="2">
        <v>5</v>
      </c>
      <c r="K8" s="2">
        <v>6</v>
      </c>
      <c r="L8" s="2">
        <v>7</v>
      </c>
      <c r="M8" s="2">
        <v>8</v>
      </c>
    </row>
    <row r="9" spans="1:16" x14ac:dyDescent="0.25">
      <c r="A9" t="s">
        <v>1</v>
      </c>
      <c r="B9">
        <v>20000</v>
      </c>
      <c r="D9" s="2" t="s">
        <v>5</v>
      </c>
      <c r="E9" s="2"/>
      <c r="F9" s="3">
        <f>DDB($B$8,$B$9,$B$10,F8,3)</f>
        <v>67500</v>
      </c>
      <c r="G9" s="3">
        <f t="shared" ref="G9:M9" si="2">DDB($B$8,$B$9,$B$10,G8,3)</f>
        <v>42187.5</v>
      </c>
      <c r="H9" s="3">
        <f t="shared" si="2"/>
        <v>26367.1875</v>
      </c>
      <c r="I9" s="3">
        <f t="shared" si="2"/>
        <v>16479.4921875</v>
      </c>
      <c r="J9" s="3">
        <f t="shared" si="2"/>
        <v>7465.8203125</v>
      </c>
      <c r="K9" s="3">
        <f t="shared" si="2"/>
        <v>0</v>
      </c>
      <c r="L9" s="3">
        <f t="shared" si="2"/>
        <v>0</v>
      </c>
      <c r="M9" s="3">
        <f t="shared" si="2"/>
        <v>0</v>
      </c>
    </row>
    <row r="10" spans="1:16" x14ac:dyDescent="0.25">
      <c r="A10" t="s">
        <v>2</v>
      </c>
      <c r="B10">
        <v>8</v>
      </c>
      <c r="D10" s="2" t="s">
        <v>6</v>
      </c>
      <c r="E10" s="2">
        <f>B8</f>
        <v>180000</v>
      </c>
      <c r="F10" s="3">
        <f>E10-F9</f>
        <v>112500</v>
      </c>
      <c r="G10" s="3">
        <f t="shared" ref="G10:M10" si="3">F10-G9</f>
        <v>70312.5</v>
      </c>
      <c r="H10" s="3">
        <f t="shared" si="3"/>
        <v>43945.3125</v>
      </c>
      <c r="I10" s="3">
        <f t="shared" si="3"/>
        <v>27465.8203125</v>
      </c>
      <c r="J10" s="3">
        <f t="shared" si="3"/>
        <v>20000</v>
      </c>
      <c r="K10" s="3">
        <f t="shared" si="3"/>
        <v>20000</v>
      </c>
      <c r="L10" s="3">
        <f t="shared" si="3"/>
        <v>20000</v>
      </c>
      <c r="M10" s="3">
        <f t="shared" si="3"/>
        <v>20000</v>
      </c>
    </row>
    <row r="13" spans="1:16" x14ac:dyDescent="0.25">
      <c r="A13" t="s">
        <v>7</v>
      </c>
      <c r="B13">
        <v>125000</v>
      </c>
      <c r="D13" s="2" t="s">
        <v>11</v>
      </c>
      <c r="E13" s="2">
        <v>0</v>
      </c>
      <c r="F13" s="2">
        <v>1</v>
      </c>
      <c r="G13" s="5">
        <v>2</v>
      </c>
      <c r="H13" s="5">
        <v>3</v>
      </c>
      <c r="I13" s="5">
        <v>4</v>
      </c>
      <c r="J13" s="5">
        <v>5</v>
      </c>
      <c r="K13" s="5">
        <v>6</v>
      </c>
      <c r="L13" s="5">
        <v>7</v>
      </c>
      <c r="M13" s="5">
        <v>8</v>
      </c>
      <c r="N13" s="5">
        <v>9</v>
      </c>
      <c r="O13" s="5">
        <v>10</v>
      </c>
      <c r="P13" s="2"/>
    </row>
    <row r="14" spans="1:16" x14ac:dyDescent="0.25">
      <c r="A14" t="s">
        <v>8</v>
      </c>
      <c r="B14">
        <v>10</v>
      </c>
      <c r="D14" s="5" t="s">
        <v>12</v>
      </c>
      <c r="E14" s="2"/>
      <c r="F14" s="3">
        <f>F16-F15</f>
        <v>8628.6860871344288</v>
      </c>
      <c r="G14" s="3">
        <f t="shared" ref="G14:O14" si="4">G16-G15</f>
        <v>9318.9809741051831</v>
      </c>
      <c r="H14" s="3">
        <f t="shared" si="4"/>
        <v>10064.499452033597</v>
      </c>
      <c r="I14" s="3">
        <f t="shared" si="4"/>
        <v>10869.659408196285</v>
      </c>
      <c r="J14" s="3">
        <f t="shared" si="4"/>
        <v>11739.232160851989</v>
      </c>
      <c r="K14" s="3">
        <f t="shared" si="4"/>
        <v>12678.370733720145</v>
      </c>
      <c r="L14" s="3">
        <f t="shared" si="4"/>
        <v>13692.640392417758</v>
      </c>
      <c r="M14" s="3">
        <f t="shared" si="4"/>
        <v>14788.051623811178</v>
      </c>
      <c r="N14" s="3">
        <f t="shared" si="4"/>
        <v>15971.095753716072</v>
      </c>
      <c r="O14" s="3">
        <f t="shared" si="4"/>
        <v>17248.78341401336</v>
      </c>
      <c r="P14" s="2"/>
    </row>
    <row r="15" spans="1:16" x14ac:dyDescent="0.25">
      <c r="A15" t="s">
        <v>9</v>
      </c>
      <c r="B15" s="6">
        <v>0.08</v>
      </c>
      <c r="D15" s="5" t="s">
        <v>13</v>
      </c>
      <c r="E15" s="2"/>
      <c r="F15" s="2">
        <f>E17*$B$15</f>
        <v>10000</v>
      </c>
      <c r="G15" s="2">
        <f>F17*$B$15</f>
        <v>9309.7051130292457</v>
      </c>
      <c r="H15" s="2">
        <f>G17*$B$15</f>
        <v>8564.1866351008321</v>
      </c>
      <c r="I15" s="2">
        <f>H17*$B$15</f>
        <v>7759.026678938144</v>
      </c>
      <c r="J15" s="2">
        <f>I17*$B$15</f>
        <v>6889.453926282441</v>
      </c>
      <c r="K15" s="2">
        <f>J17*$B$15</f>
        <v>5950.315353414283</v>
      </c>
      <c r="L15" s="2">
        <f>K17*$B$15</f>
        <v>4936.0456947166704</v>
      </c>
      <c r="M15" s="2">
        <f>L17*$B$15</f>
        <v>3840.6344633232502</v>
      </c>
      <c r="N15" s="2">
        <f>M17*$B$15</f>
        <v>2657.5903334183563</v>
      </c>
      <c r="O15" s="2">
        <f>N17*$B$15</f>
        <v>1379.9026731210704</v>
      </c>
      <c r="P15" s="2"/>
    </row>
    <row r="16" spans="1:16" x14ac:dyDescent="0.25">
      <c r="D16" s="5" t="s">
        <v>10</v>
      </c>
      <c r="E16" s="2"/>
      <c r="F16" s="3">
        <f>PMT($B$15,$B$14,-$B$13)</f>
        <v>18628.686087134429</v>
      </c>
      <c r="G16" s="3">
        <f>PMT($B$15,$B$14,-$B$13)</f>
        <v>18628.686087134429</v>
      </c>
      <c r="H16" s="3">
        <f>PMT($B$15,$B$14,-$B$13)</f>
        <v>18628.686087134429</v>
      </c>
      <c r="I16" s="3">
        <f>PMT($B$15,$B$14,-$B$13)</f>
        <v>18628.686087134429</v>
      </c>
      <c r="J16" s="3">
        <f>PMT($B$15,$B$14,-$B$13)</f>
        <v>18628.686087134429</v>
      </c>
      <c r="K16" s="3">
        <f>PMT($B$15,$B$14,-$B$13)</f>
        <v>18628.686087134429</v>
      </c>
      <c r="L16" s="3">
        <f>PMT($B$15,$B$14,-$B$13)</f>
        <v>18628.686087134429</v>
      </c>
      <c r="M16" s="3">
        <f>PMT($B$15,$B$14,-$B$13)</f>
        <v>18628.686087134429</v>
      </c>
      <c r="N16" s="3">
        <f>PMT($B$15,$B$14,-$B$13)</f>
        <v>18628.686087134429</v>
      </c>
      <c r="O16" s="3">
        <f>PMT($B$15,$B$14,-$B$13)</f>
        <v>18628.686087134429</v>
      </c>
      <c r="P16" s="2"/>
    </row>
    <row r="17" spans="1:16" x14ac:dyDescent="0.25">
      <c r="D17" s="5" t="s">
        <v>14</v>
      </c>
      <c r="E17" s="2">
        <f>B13</f>
        <v>125000</v>
      </c>
      <c r="F17" s="3">
        <f>E17-F14</f>
        <v>116371.31391286557</v>
      </c>
      <c r="G17" s="3">
        <f t="shared" ref="G17:O17" si="5">F17-G14</f>
        <v>107052.33293876039</v>
      </c>
      <c r="H17" s="3">
        <f t="shared" si="5"/>
        <v>96987.833486726799</v>
      </c>
      <c r="I17" s="3">
        <f t="shared" si="5"/>
        <v>86118.174078530516</v>
      </c>
      <c r="J17" s="3">
        <f t="shared" si="5"/>
        <v>74378.94191767853</v>
      </c>
      <c r="K17" s="3">
        <f t="shared" si="5"/>
        <v>61700.571183958382</v>
      </c>
      <c r="L17" s="3">
        <f t="shared" si="5"/>
        <v>48007.930791540624</v>
      </c>
      <c r="M17" s="3">
        <f t="shared" si="5"/>
        <v>33219.87916772945</v>
      </c>
      <c r="N17" s="3">
        <f t="shared" si="5"/>
        <v>17248.783414013378</v>
      </c>
      <c r="O17" s="3">
        <f t="shared" si="5"/>
        <v>0</v>
      </c>
      <c r="P17" s="2"/>
    </row>
    <row r="18" spans="1:16" x14ac:dyDescent="0.25">
      <c r="D18" s="1"/>
      <c r="E18" s="1"/>
      <c r="F18" s="1"/>
      <c r="G18" s="1"/>
      <c r="H18" s="1"/>
    </row>
    <row r="19" spans="1:16" ht="15.75" thickBot="1" x14ac:dyDescent="0.3">
      <c r="D19" s="1"/>
      <c r="E19" s="1"/>
      <c r="F19" s="1"/>
      <c r="G19" s="1"/>
      <c r="H19" s="1"/>
    </row>
    <row r="20" spans="1:16" x14ac:dyDescent="0.25">
      <c r="A20" t="s">
        <v>7</v>
      </c>
      <c r="B20">
        <v>285000</v>
      </c>
      <c r="D20" s="10" t="s">
        <v>11</v>
      </c>
      <c r="E20" s="11">
        <v>0</v>
      </c>
      <c r="F20" s="11">
        <v>1</v>
      </c>
      <c r="G20" s="12">
        <v>2</v>
      </c>
      <c r="H20" s="12">
        <v>3</v>
      </c>
      <c r="I20" s="12">
        <v>4</v>
      </c>
      <c r="J20" s="17">
        <v>5</v>
      </c>
      <c r="K20" s="5" t="s">
        <v>15</v>
      </c>
      <c r="L20" s="4"/>
      <c r="M20" s="4"/>
      <c r="N20" s="4"/>
      <c r="O20" s="4"/>
    </row>
    <row r="21" spans="1:16" x14ac:dyDescent="0.25">
      <c r="A21" t="s">
        <v>8</v>
      </c>
      <c r="B21">
        <v>5</v>
      </c>
      <c r="D21" s="13" t="s">
        <v>12</v>
      </c>
      <c r="E21" s="2"/>
      <c r="F21" s="3">
        <f>F23-F22</f>
        <v>44861.773603198948</v>
      </c>
      <c r="G21" s="3">
        <f t="shared" ref="G21:J21" si="6">G23-G22</f>
        <v>50245.186435582822</v>
      </c>
      <c r="H21" s="3">
        <f t="shared" si="6"/>
        <v>56274.608807852754</v>
      </c>
      <c r="I21" s="3">
        <f t="shared" si="6"/>
        <v>63027.561864795091</v>
      </c>
      <c r="J21" s="7">
        <f t="shared" si="6"/>
        <v>70590.869288570495</v>
      </c>
      <c r="K21" s="3">
        <f>F21+G21+H21+I21+J21</f>
        <v>285000.00000000012</v>
      </c>
      <c r="L21" s="9"/>
      <c r="M21" s="9"/>
      <c r="N21" s="9"/>
      <c r="O21" s="9"/>
    </row>
    <row r="22" spans="1:16" x14ac:dyDescent="0.25">
      <c r="A22" t="s">
        <v>9</v>
      </c>
      <c r="B22" s="6">
        <v>0.12</v>
      </c>
      <c r="D22" s="13" t="s">
        <v>13</v>
      </c>
      <c r="E22" s="2"/>
      <c r="F22" s="2">
        <f>E24*$B$22</f>
        <v>34200</v>
      </c>
      <c r="G22" s="2">
        <f t="shared" ref="G22:J22" si="7">F24*$B$22</f>
        <v>28816.587167616126</v>
      </c>
      <c r="H22" s="2">
        <f t="shared" si="7"/>
        <v>22787.164795346191</v>
      </c>
      <c r="I22" s="2">
        <f t="shared" si="7"/>
        <v>16034.211738403859</v>
      </c>
      <c r="J22" s="8">
        <f t="shared" si="7"/>
        <v>8470.9043146284494</v>
      </c>
      <c r="K22" s="2">
        <f>F22+G22+H22+I22+J22</f>
        <v>110308.86801599462</v>
      </c>
      <c r="L22" s="1"/>
      <c r="M22" s="1"/>
      <c r="N22" s="1"/>
      <c r="O22" s="1"/>
    </row>
    <row r="23" spans="1:16" x14ac:dyDescent="0.25">
      <c r="D23" s="13" t="s">
        <v>10</v>
      </c>
      <c r="E23" s="2"/>
      <c r="F23" s="3">
        <f>PMT($B$22,$B$21,-$B$20)</f>
        <v>79061.773603198948</v>
      </c>
      <c r="G23" s="3">
        <f t="shared" ref="G23:J23" si="8">PMT($B$22,$B$21,-$B$20)</f>
        <v>79061.773603198948</v>
      </c>
      <c r="H23" s="3">
        <f t="shared" si="8"/>
        <v>79061.773603198948</v>
      </c>
      <c r="I23" s="3">
        <f t="shared" si="8"/>
        <v>79061.773603198948</v>
      </c>
      <c r="J23" s="7">
        <f t="shared" si="8"/>
        <v>79061.773603198948</v>
      </c>
      <c r="K23" s="3">
        <f>F23+G23+H23+I23+J23</f>
        <v>395308.86801599473</v>
      </c>
      <c r="L23" s="9"/>
      <c r="M23" s="9"/>
      <c r="N23" s="9"/>
      <c r="O23" s="9"/>
    </row>
    <row r="24" spans="1:16" ht="15.75" thickBot="1" x14ac:dyDescent="0.3">
      <c r="D24" s="14" t="s">
        <v>14</v>
      </c>
      <c r="E24" s="15">
        <f>B20</f>
        <v>285000</v>
      </c>
      <c r="F24" s="16">
        <f>E24-F21</f>
        <v>240138.22639680107</v>
      </c>
      <c r="G24" s="16">
        <f t="shared" ref="G24:O24" si="9">F24-G21</f>
        <v>189893.03996121825</v>
      </c>
      <c r="H24" s="16">
        <f t="shared" si="9"/>
        <v>133618.4311533655</v>
      </c>
      <c r="I24" s="16">
        <f t="shared" si="9"/>
        <v>70590.869288570408</v>
      </c>
      <c r="J24" s="18">
        <f t="shared" si="9"/>
        <v>0</v>
      </c>
      <c r="K24" s="3"/>
      <c r="L24" s="9"/>
      <c r="M24" s="9"/>
      <c r="N24" s="9"/>
      <c r="O24" s="9"/>
    </row>
    <row r="57" spans="2:2" x14ac:dyDescent="0.25">
      <c r="B5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SISTEMAS2-10</dc:creator>
  <cp:lastModifiedBy>SISTEMAS2-10</cp:lastModifiedBy>
  <dcterms:created xsi:type="dcterms:W3CDTF">2022-06-06T15:14:14Z</dcterms:created>
  <dcterms:modified xsi:type="dcterms:W3CDTF">2022-06-06T16:26:06Z</dcterms:modified>
</cp:coreProperties>
</file>